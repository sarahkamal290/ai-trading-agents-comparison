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Metrics" sheetId="2" state="visible" r:id="rId2"/>
    <sheet name="Ranking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0"/>
    <numFmt numFmtId="166" formatCode="0.00&quot;%&quot;"/>
  </numFmts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000000"/>
      <sz val="12"/>
    </font>
    <font>
      <b val="1"/>
    </font>
    <font>
      <b val="1"/>
      <sz val="14"/>
    </font>
    <font>
      <b val="1"/>
      <sz val="13"/>
    </font>
  </fonts>
  <fills count="10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B8D8F0"/>
      </patternFill>
    </fill>
    <fill>
      <patternFill patternType="solid">
        <fgColor rgb="00FFD8A8"/>
      </patternFill>
    </fill>
    <fill>
      <patternFill patternType="solid">
        <fgColor rgb="00C8E6C8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ck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5" borderId="0" pivotButton="0" quotePrefix="0" xfId="0"/>
    <xf numFmtId="2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6" borderId="0" pivotButton="0" quotePrefix="0" xfId="0"/>
    <xf numFmtId="2" fontId="4" fillId="6" borderId="0" pivotButton="0" quotePrefix="0" xfId="0"/>
    <xf numFmtId="164" fontId="4" fillId="6" borderId="0" pivotButton="0" quotePrefix="0" xfId="0"/>
    <xf numFmtId="165" fontId="4" fillId="6" borderId="0" pivotButton="0" quotePrefix="0" xfId="0"/>
    <xf numFmtId="0" fontId="5" fillId="0" borderId="0" pivotButton="0" quotePrefix="0" xfId="0"/>
    <xf numFmtId="0" fontId="6" fillId="3" borderId="0" pivotButton="0" quotePrefix="0" xfId="0"/>
    <xf numFmtId="1" fontId="0" fillId="0" borderId="0" pivotButton="0" quotePrefix="0" xfId="0"/>
    <xf numFmtId="1" fontId="0" fillId="7" borderId="0" pivotButton="0" quotePrefix="0" xfId="0"/>
    <xf numFmtId="166" fontId="0" fillId="0" borderId="0" pivotButton="0" quotePrefix="0" xfId="0"/>
    <xf numFmtId="164" fontId="0" fillId="8" borderId="0" pivotButton="0" quotePrefix="0" xfId="0"/>
    <xf numFmtId="164" fontId="0" fillId="7" borderId="0" pivotButton="0" quotePrefix="0" xfId="0"/>
    <xf numFmtId="2" fontId="0" fillId="7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0" fillId="9" borderId="0" pivotButton="0" quotePrefix="0" xfId="0"/>
    <xf numFmtId="2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Profit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'Charts'!$A$2:$A$4</f>
            </numRef>
          </cat>
          <val>
            <numRef>
              <f>'Charts'!$B$2:$B$4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Agent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Trading Agent Performance Summary</t>
        </is>
      </c>
    </row>
    <row r="2">
      <c r="A2" s="2" t="inlineStr">
        <is>
          <t>Generated: 2025-12-30 20:32:18</t>
        </is>
      </c>
    </row>
    <row r="4">
      <c r="A4" s="3" t="inlineStr">
        <is>
          <t>Agent</t>
        </is>
      </c>
      <c r="B4" s="3" t="inlineStr">
        <is>
          <t>Total Trades</t>
        </is>
      </c>
      <c r="C4" s="3" t="inlineStr">
        <is>
          <t>Win Rate (%)</t>
        </is>
      </c>
      <c r="D4" s="3" t="inlineStr">
        <is>
          <t>Total Profit ($)</t>
        </is>
      </c>
      <c r="E4" s="3" t="inlineStr">
        <is>
          <t>Avg Profit ($)</t>
        </is>
      </c>
      <c r="F4" s="3" t="inlineStr">
        <is>
          <t>Sharpe Ratio</t>
        </is>
      </c>
    </row>
    <row r="5">
      <c r="A5" s="4" t="inlineStr">
        <is>
          <t>StockAgent</t>
        </is>
      </c>
      <c r="B5" s="4" t="n">
        <v>87</v>
      </c>
      <c r="C5" s="5" t="n">
        <v>44.82758620689656</v>
      </c>
      <c r="D5" s="6" t="n">
        <v>-158408.83</v>
      </c>
      <c r="E5" s="6" t="n">
        <v>-1820.791149425288</v>
      </c>
      <c r="F5" s="7" t="n">
        <v>-0.1110922869029683</v>
      </c>
    </row>
    <row r="6">
      <c r="A6" s="8" t="inlineStr">
        <is>
          <t>TradingAgents</t>
        </is>
      </c>
      <c r="B6" s="8" t="n">
        <v>43</v>
      </c>
      <c r="C6" s="9" t="n">
        <v>32.55813953488372</v>
      </c>
      <c r="D6" s="10" t="n">
        <v>-995.46</v>
      </c>
      <c r="E6" s="10" t="n">
        <v>-23.15023255813954</v>
      </c>
      <c r="F6" s="11" t="n">
        <v>-0.1648943693339268</v>
      </c>
    </row>
    <row r="7">
      <c r="A7" s="12" t="inlineStr">
        <is>
          <t>FinGPT</t>
        </is>
      </c>
      <c r="B7" s="12" t="n">
        <v>66</v>
      </c>
      <c r="C7" s="13" t="n">
        <v>43.93939393939394</v>
      </c>
      <c r="D7" s="14" t="n">
        <v>-20945.24</v>
      </c>
      <c r="E7" s="14" t="n">
        <v>-317.3521212121212</v>
      </c>
      <c r="F7" s="15" t="n">
        <v>-0.2114665977187132</v>
      </c>
    </row>
    <row r="8">
      <c r="C8" s="16" t="n"/>
      <c r="D8" s="17" t="n"/>
      <c r="E8" s="17" t="n"/>
      <c r="F8" s="18" t="n"/>
    </row>
    <row r="9">
      <c r="C9" s="16" t="n"/>
      <c r="D9" s="17" t="n"/>
      <c r="E9" s="17" t="n"/>
      <c r="F9" s="18" t="n"/>
    </row>
    <row r="10">
      <c r="A10" s="19" t="inlineStr">
        <is>
          <t>TOTALS:</t>
        </is>
      </c>
      <c r="B10" s="19">
        <f>SUM(B5:B7)</f>
        <v/>
      </c>
      <c r="C10" s="20">
        <f>AVERAGE(C5:C7)</f>
        <v/>
      </c>
      <c r="D10" s="21">
        <f>SUM(D5:D7)</f>
        <v/>
      </c>
      <c r="E10" s="21">
        <f>AVERAGE(E5:E7)</f>
        <v/>
      </c>
      <c r="F10" s="22">
        <f>AVERAGE(F5:F7)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3" t="inlineStr">
        <is>
          <t>Detailed Performance Metrics</t>
        </is>
      </c>
    </row>
    <row r="3">
      <c r="A3" s="24" t="inlineStr">
        <is>
          <t>StockAgent</t>
        </is>
      </c>
    </row>
    <row r="4">
      <c r="A4" t="inlineStr">
        <is>
          <t>Total Trades</t>
        </is>
      </c>
      <c r="B4" s="25" t="n">
        <v>87</v>
      </c>
    </row>
    <row r="5">
      <c r="A5" t="inlineStr">
        <is>
          <t>Profitable Trades</t>
        </is>
      </c>
      <c r="B5" s="26" t="n">
        <v>39</v>
      </c>
    </row>
    <row r="6">
      <c r="A6" t="inlineStr">
        <is>
          <t>Losing Trades</t>
        </is>
      </c>
      <c r="B6" s="25" t="n">
        <v>48</v>
      </c>
    </row>
    <row r="7">
      <c r="A7" t="inlineStr">
        <is>
          <t>Win Rate</t>
        </is>
      </c>
      <c r="B7" s="27" t="n">
        <v>44.82758620689656</v>
      </c>
    </row>
    <row r="8">
      <c r="A8" t="inlineStr">
        <is>
          <t>Total Profit</t>
        </is>
      </c>
      <c r="B8" s="28" t="n">
        <v>-158408.83</v>
      </c>
    </row>
    <row r="9">
      <c r="A9" t="inlineStr">
        <is>
          <t>Average Profit</t>
        </is>
      </c>
      <c r="B9" s="28" t="n">
        <v>-1820.791149425288</v>
      </c>
    </row>
    <row r="10">
      <c r="A10" t="inlineStr">
        <is>
          <t>Max Profit</t>
        </is>
      </c>
      <c r="B10" s="29" t="n">
        <v>38386.6</v>
      </c>
    </row>
    <row r="11">
      <c r="A11" t="inlineStr">
        <is>
          <t>Max Loss</t>
        </is>
      </c>
      <c r="B11" s="28" t="n">
        <v>-63989.46</v>
      </c>
    </row>
    <row r="12">
      <c r="A12" t="inlineStr">
        <is>
          <t>Std Deviation</t>
        </is>
      </c>
      <c r="B12" s="16" t="n">
        <v>16389.89708633532</v>
      </c>
    </row>
    <row r="13">
      <c r="A13" t="inlineStr">
        <is>
          <t>Sharpe Ratio</t>
        </is>
      </c>
      <c r="B13" s="18" t="n">
        <v>-0.1110922869029683</v>
      </c>
    </row>
    <row r="14">
      <c r="A14" t="inlineStr">
        <is>
          <t>Profit Factor</t>
        </is>
      </c>
      <c r="B14" s="30" t="n">
        <v>0.7367120983620682</v>
      </c>
    </row>
    <row r="17">
      <c r="A17" s="31" t="inlineStr">
        <is>
          <t>TradingAgents</t>
        </is>
      </c>
    </row>
    <row r="18">
      <c r="A18" t="inlineStr">
        <is>
          <t>Total Trades</t>
        </is>
      </c>
      <c r="B18" s="25" t="n">
        <v>43</v>
      </c>
    </row>
    <row r="19">
      <c r="A19" t="inlineStr">
        <is>
          <t>Profitable Trades</t>
        </is>
      </c>
      <c r="B19" s="26" t="n">
        <v>14</v>
      </c>
    </row>
    <row r="20">
      <c r="A20" t="inlineStr">
        <is>
          <t>Losing Trades</t>
        </is>
      </c>
      <c r="B20" s="25" t="n">
        <v>29</v>
      </c>
    </row>
    <row r="21">
      <c r="A21" t="inlineStr">
        <is>
          <t>Win Rate</t>
        </is>
      </c>
      <c r="B21" s="27" t="n">
        <v>32.55813953488372</v>
      </c>
    </row>
    <row r="22">
      <c r="A22" t="inlineStr">
        <is>
          <t>Total Profit</t>
        </is>
      </c>
      <c r="B22" s="28" t="n">
        <v>-995.46</v>
      </c>
    </row>
    <row r="23">
      <c r="A23" t="inlineStr">
        <is>
          <t>Average Profit</t>
        </is>
      </c>
      <c r="B23" s="28" t="n">
        <v>-23.15023255813954</v>
      </c>
    </row>
    <row r="24">
      <c r="A24" t="inlineStr">
        <is>
          <t>Max Profit</t>
        </is>
      </c>
      <c r="B24" s="29" t="n">
        <v>380.19</v>
      </c>
    </row>
    <row r="25">
      <c r="A25" t="inlineStr">
        <is>
          <t>Max Loss</t>
        </is>
      </c>
      <c r="B25" s="28" t="n">
        <v>-278.34</v>
      </c>
    </row>
    <row r="26">
      <c r="A26" t="inlineStr">
        <is>
          <t>Std Deviation</t>
        </is>
      </c>
      <c r="B26" s="16" t="n">
        <v>140.3943182029346</v>
      </c>
    </row>
    <row r="27">
      <c r="A27" t="inlineStr">
        <is>
          <t>Sharpe Ratio</t>
        </is>
      </c>
      <c r="B27" s="18" t="n">
        <v>-0.1648943693339268</v>
      </c>
    </row>
    <row r="28">
      <c r="A28" t="inlineStr">
        <is>
          <t>Profit Factor</t>
        </is>
      </c>
      <c r="B28" s="30" t="n">
        <v>0.6735415361709524</v>
      </c>
    </row>
    <row r="31">
      <c r="A31" s="32" t="inlineStr">
        <is>
          <t>FinGPT</t>
        </is>
      </c>
    </row>
    <row r="32">
      <c r="A32" t="inlineStr">
        <is>
          <t>Total Trades</t>
        </is>
      </c>
      <c r="B32" s="25" t="n">
        <v>66</v>
      </c>
    </row>
    <row r="33">
      <c r="A33" t="inlineStr">
        <is>
          <t>Profitable Trades</t>
        </is>
      </c>
      <c r="B33" s="26" t="n">
        <v>29</v>
      </c>
    </row>
    <row r="34">
      <c r="A34" t="inlineStr">
        <is>
          <t>Losing Trades</t>
        </is>
      </c>
      <c r="B34" s="25" t="n">
        <v>37</v>
      </c>
    </row>
    <row r="35">
      <c r="A35" t="inlineStr">
        <is>
          <t>Win Rate</t>
        </is>
      </c>
      <c r="B35" s="27" t="n">
        <v>43.93939393939394</v>
      </c>
    </row>
    <row r="36">
      <c r="A36" t="inlineStr">
        <is>
          <t>Total Profit</t>
        </is>
      </c>
      <c r="B36" s="28" t="n">
        <v>-20945.24</v>
      </c>
    </row>
    <row r="37">
      <c r="A37" t="inlineStr">
        <is>
          <t>Average Profit</t>
        </is>
      </c>
      <c r="B37" s="28" t="n">
        <v>-317.3521212121212</v>
      </c>
    </row>
    <row r="38">
      <c r="A38" t="inlineStr">
        <is>
          <t>Max Profit</t>
        </is>
      </c>
      <c r="B38" s="29" t="n">
        <v>3939.19</v>
      </c>
    </row>
    <row r="39">
      <c r="A39" t="inlineStr">
        <is>
          <t>Max Loss</t>
        </is>
      </c>
      <c r="B39" s="28" t="n">
        <v>-4355.11</v>
      </c>
    </row>
    <row r="40">
      <c r="A40" t="inlineStr">
        <is>
          <t>Std Deviation</t>
        </is>
      </c>
      <c r="B40" s="16" t="n">
        <v>1500.719851908971</v>
      </c>
    </row>
    <row r="41">
      <c r="A41" t="inlineStr">
        <is>
          <t>Sharpe Ratio</t>
        </is>
      </c>
      <c r="B41" s="18" t="n">
        <v>-0.2114665977187132</v>
      </c>
    </row>
    <row r="42">
      <c r="A42" t="inlineStr">
        <is>
          <t>Profit Factor</t>
        </is>
      </c>
      <c r="B42" s="30" t="n">
        <v>0.5268666416229247</v>
      </c>
    </row>
  </sheetData>
  <mergeCells count="4">
    <mergeCell ref="A1:D1"/>
    <mergeCell ref="A17:D17"/>
    <mergeCell ref="A31:D3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3" t="inlineStr">
        <is>
          <t>Agent Performance Rankings</t>
        </is>
      </c>
    </row>
    <row r="3">
      <c r="A3" s="3" t="inlineStr">
        <is>
          <t>Agent</t>
        </is>
      </c>
      <c r="B3" s="3" t="inlineStr">
        <is>
          <t>Profit Rank</t>
        </is>
      </c>
      <c r="C3" s="3" t="inlineStr">
        <is>
          <t>Win Rate Rank</t>
        </is>
      </c>
      <c r="D3" s="3" t="inlineStr">
        <is>
          <t>Sharpe Rank</t>
        </is>
      </c>
      <c r="E3" s="3" t="inlineStr">
        <is>
          <t>Trade Volume Rank</t>
        </is>
      </c>
      <c r="F3" s="3" t="inlineStr">
        <is>
          <t>Overall Score</t>
        </is>
      </c>
      <c r="G3" s="3" t="inlineStr">
        <is>
          <t>Final Rank</t>
        </is>
      </c>
    </row>
    <row r="4">
      <c r="A4" s="33" t="inlineStr">
        <is>
          <t>StockAgent</t>
        </is>
      </c>
      <c r="B4" s="33" t="n">
        <v>1</v>
      </c>
      <c r="C4" s="33" t="n">
        <v>1</v>
      </c>
      <c r="D4" s="33" t="n">
        <v>1</v>
      </c>
      <c r="E4" s="33" t="n">
        <v>1</v>
      </c>
      <c r="F4" s="34">
        <f>AVERAGE(B4:E4)</f>
        <v/>
      </c>
      <c r="G4" s="33">
        <f>RANK(F4,F$4:F$6)</f>
        <v/>
      </c>
    </row>
    <row r="5">
      <c r="A5" t="inlineStr">
        <is>
          <t>TradingAgents</t>
        </is>
      </c>
      <c r="B5" t="n">
        <v>2</v>
      </c>
      <c r="C5" t="n">
        <v>2</v>
      </c>
      <c r="D5" t="n">
        <v>2</v>
      </c>
      <c r="E5" t="n">
        <v>2</v>
      </c>
      <c r="F5" s="16">
        <f>AVERAGE(B5:E5)</f>
        <v/>
      </c>
      <c r="G5">
        <f>RANK(F5,F$4:F$6)</f>
        <v/>
      </c>
    </row>
    <row r="6">
      <c r="A6" t="inlineStr">
        <is>
          <t>FinGPT</t>
        </is>
      </c>
      <c r="B6" t="n">
        <v>3</v>
      </c>
      <c r="C6" t="n">
        <v>3</v>
      </c>
      <c r="D6" t="n">
        <v>3</v>
      </c>
      <c r="E6" t="n">
        <v>3</v>
      </c>
      <c r="F6" s="16">
        <f>AVERAGE(B6:E6)</f>
        <v/>
      </c>
      <c r="G6">
        <f>RANK(F6,F$4:F$6)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Total Profit</t>
        </is>
      </c>
      <c r="C1" t="inlineStr">
        <is>
          <t>Win Rate</t>
        </is>
      </c>
      <c r="D1" t="inlineStr">
        <is>
          <t>Sharpe Ratio</t>
        </is>
      </c>
    </row>
    <row r="2">
      <c r="A2" t="inlineStr">
        <is>
          <t>StockAgent</t>
        </is>
      </c>
      <c r="B2" t="n">
        <v>-158408.83</v>
      </c>
      <c r="C2" t="n">
        <v>44.82758620689656</v>
      </c>
      <c r="D2" t="n">
        <v>-0.1110922869029683</v>
      </c>
    </row>
    <row r="3">
      <c r="A3" t="inlineStr">
        <is>
          <t>TradingAgents</t>
        </is>
      </c>
      <c r="B3" t="n">
        <v>-995.46</v>
      </c>
      <c r="C3" t="n">
        <v>32.55813953488372</v>
      </c>
      <c r="D3" t="n">
        <v>-0.1648943693339268</v>
      </c>
    </row>
    <row r="4">
      <c r="A4" t="inlineStr">
        <is>
          <t>FinGPT</t>
        </is>
      </c>
      <c r="B4" t="n">
        <v>-20945.24</v>
      </c>
      <c r="C4" t="n">
        <v>43.93939393939394</v>
      </c>
      <c r="D4" t="n">
        <v>-0.2114665977187132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2025-12-30T18:32:15Z</dcterms:created>
  <dcterms:modified xsi:type="dcterms:W3CDTF">2025-12-30T18:32:18Z</dcterms:modified>
</cp:coreProperties>
</file>